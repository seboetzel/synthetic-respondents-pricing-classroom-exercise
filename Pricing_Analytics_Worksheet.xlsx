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2.xml" ContentType="application/inkml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ink/ink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hsfuldade-my.sharepoint.com/personal/sebastian_oetzel_w_hs-fulda_de/Documents/Forschung/Measuring WTP chatgpt/Case Study/github/"/>
    </mc:Choice>
  </mc:AlternateContent>
  <xr:revisionPtr revIDLastSave="1549" documentId="13_ncr:1_{80FE6401-EA71-4092-813B-D42BBE7DC823}" xr6:coauthVersionLast="47" xr6:coauthVersionMax="47" xr10:uidLastSave="{F47C20F8-634F-44B7-9E9E-337D67BA10EF}"/>
  <bookViews>
    <workbookView xWindow="-120" yWindow="-120" windowWidth="29040" windowHeight="15720" tabRatio="646" xr2:uid="{00000000-000D-0000-FFFF-FFFF00000000}"/>
  </bookViews>
  <sheets>
    <sheet name="Pricing" sheetId="4" r:id="rId1"/>
    <sheet name="real" sheetId="15" r:id="rId2"/>
    <sheet name="synthetic" sheetId="16" r:id="rId3"/>
  </sheets>
  <definedNames>
    <definedName name="solver_adj" localSheetId="0" hidden="1">Pricing!$I$14</definedName>
    <definedName name="solver_adj" localSheetId="1" hidden="1">real!$I$14</definedName>
    <definedName name="solver_adj" localSheetId="2" hidden="1">synthetic!$I$14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Pricing!$I$16</definedName>
    <definedName name="solver_opt" localSheetId="1" hidden="1">real!$I$16</definedName>
    <definedName name="solver_opt" localSheetId="2" hidden="1">synthetic!$I$16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E14" i="4"/>
  <c r="E13" i="4"/>
  <c r="E12" i="4"/>
  <c r="E11" i="4"/>
  <c r="E10" i="4"/>
  <c r="E9" i="4"/>
  <c r="E8" i="4"/>
  <c r="E7" i="4"/>
  <c r="E6" i="4"/>
  <c r="E5" i="4"/>
  <c r="C29" i="16"/>
  <c r="E15" i="16"/>
  <c r="E14" i="16"/>
  <c r="E13" i="16"/>
  <c r="E12" i="16"/>
  <c r="E11" i="16"/>
  <c r="E10" i="16"/>
  <c r="E9" i="16"/>
  <c r="E8" i="16"/>
  <c r="E7" i="16"/>
  <c r="E6" i="16"/>
  <c r="E5" i="16"/>
  <c r="E4" i="16"/>
  <c r="C29" i="15"/>
  <c r="E15" i="15"/>
  <c r="E14" i="15"/>
  <c r="E13" i="15"/>
  <c r="E12" i="15"/>
  <c r="E11" i="15"/>
  <c r="E10" i="15"/>
  <c r="E9" i="15"/>
  <c r="E8" i="15"/>
  <c r="E7" i="15"/>
  <c r="E6" i="15"/>
  <c r="E5" i="15"/>
  <c r="E4" i="15"/>
  <c r="E4" i="4"/>
  <c r="C45" i="15" l="1" a="1"/>
  <c r="C45" i="15" s="1"/>
  <c r="I10" i="15" s="1"/>
  <c r="C45" i="16" a="1"/>
  <c r="C45" i="16" s="1"/>
  <c r="I10" i="16" s="1"/>
  <c r="I9" i="16" l="1"/>
  <c r="I14" i="16" s="1"/>
  <c r="I9" i="15"/>
  <c r="I14" i="15" s="1"/>
  <c r="C44" i="4" a="1"/>
  <c r="C44" i="4" s="1"/>
  <c r="I10" i="4" s="1"/>
  <c r="I9" i="4" l="1"/>
  <c r="I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<sst xmlns="http://schemas.openxmlformats.org/spreadsheetml/2006/main" count="39" uniqueCount="22">
  <si>
    <t>a</t>
  </si>
  <si>
    <t>b</t>
  </si>
  <si>
    <t>p*</t>
  </si>
  <si>
    <t>Regression</t>
  </si>
  <si>
    <t>Price Optimization</t>
  </si>
  <si>
    <t>Respondent</t>
  </si>
  <si>
    <t>Mean</t>
  </si>
  <si>
    <t>Max WTP in €</t>
  </si>
  <si>
    <t>Price</t>
  </si>
  <si>
    <t>Sales</t>
  </si>
  <si>
    <t>Variable Costs</t>
  </si>
  <si>
    <t>Linear Price-Response-Function</t>
  </si>
  <si>
    <t>Price Optimization "real"</t>
  </si>
  <si>
    <t>Price Optimization "synthetic"</t>
  </si>
  <si>
    <t>Optimal Price</t>
  </si>
  <si>
    <t>Intercept (a)</t>
  </si>
  <si>
    <t>Slope (b)</t>
  </si>
  <si>
    <t>Estimated Linear Demand Function</t>
  </si>
  <si>
    <t>Participant</t>
  </si>
  <si>
    <t>Pricing Analytics Worksheet</t>
  </si>
  <si>
    <t>Demand</t>
  </si>
  <si>
    <t>Maximum WTP 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</si>
</sst>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0" xfId="0" applyFont="1" applyFill="1"/>
    <xf numFmtId="0" fontId="0" fillId="34" borderId="0" xfId="0" applyFill="1"/>
    <xf numFmtId="0" fontId="0" fillId="35" borderId="0" xfId="0" applyFill="1"/>
    <xf numFmtId="2" fontId="0" fillId="35" borderId="0" xfId="0" applyNumberFormat="1" applyFill="1"/>
    <xf numFmtId="0" fontId="16" fillId="35" borderId="0" xfId="0" applyFont="1" applyFill="1"/>
    <xf numFmtId="0" fontId="0" fillId="35" borderId="0" xfId="0" applyFill="1" applyAlignment="1">
      <alignment horizontal="center"/>
    </xf>
    <xf numFmtId="2" fontId="0" fillId="35" borderId="0" xfId="0" applyNumberFormat="1" applyFill="1" applyAlignment="1">
      <alignment horizontal="center"/>
    </xf>
    <xf numFmtId="0" fontId="0" fillId="35" borderId="0" xfId="0" applyFill="1" applyAlignment="1">
      <alignment horizontal="center" vertical="center"/>
    </xf>
    <xf numFmtId="2" fontId="0" fillId="35" borderId="0" xfId="0" applyNumberFormat="1" applyFill="1" applyAlignment="1">
      <alignment horizontal="center" vertical="center"/>
    </xf>
    <xf numFmtId="2" fontId="0" fillId="36" borderId="10" xfId="0" applyNumberFormat="1" applyFill="1" applyBorder="1" applyAlignment="1">
      <alignment horizontal="center" vertical="center"/>
    </xf>
    <xf numFmtId="2" fontId="0" fillId="36" borderId="11" xfId="0" applyNumberFormat="1" applyFill="1" applyBorder="1" applyAlignment="1">
      <alignment horizontal="center" vertical="center"/>
    </xf>
    <xf numFmtId="2" fontId="0" fillId="36" borderId="12" xfId="0" applyNumberFormat="1" applyFill="1" applyBorder="1" applyAlignment="1">
      <alignment horizontal="center" vertical="center"/>
    </xf>
    <xf numFmtId="164" fontId="0" fillId="35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/>
    </xf>
    <xf numFmtId="2" fontId="0" fillId="37" borderId="13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bg1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4222697324496897E-2"/>
                  <c:y val="-0.629847952955961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Pricing!$F$4:$F$15</c:f>
              <c:numCache>
                <c:formatCode>#,##0.00\ "€"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Pricing!$E$4:$E$15</c:f>
              <c:numCache>
                <c:formatCode>General</c:formatCode>
                <c:ptCount val="12"/>
                <c:pt idx="0">
                  <c:v>24</c:v>
                </c:pt>
                <c:pt idx="1">
                  <c:v>22</c:v>
                </c:pt>
                <c:pt idx="2">
                  <c:v>17</c:v>
                </c:pt>
                <c:pt idx="3">
                  <c:v>14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1-4340-B03F-00699B2D3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748272"/>
        <c:axId val="639753848"/>
      </c:scatterChart>
      <c:valAx>
        <c:axId val="6397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#,##0.00\ &quot;€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39753848"/>
        <c:crosses val="autoZero"/>
        <c:crossBetween val="midCat"/>
      </c:valAx>
      <c:valAx>
        <c:axId val="639753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3974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bg1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563149690976992E-2"/>
                  <c:y val="-0.732910834891944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real!$F$4:$F$15</c:f>
              <c:numCache>
                <c:formatCode>#,##0.00\ "€"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real!$E$4:$E$15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B8-43B3-9D56-47582B5DC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748272"/>
        <c:axId val="639753848"/>
      </c:scatterChart>
      <c:valAx>
        <c:axId val="6397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#,##0.00\ &quot;€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39753848"/>
        <c:crosses val="autoZero"/>
        <c:crossBetween val="midCat"/>
      </c:valAx>
      <c:valAx>
        <c:axId val="63975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3974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bg1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563149690976992E-2"/>
                  <c:y val="-0.732910834891944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</c:trendlineLbl>
          </c:trendline>
          <c:xVal>
            <c:numRef>
              <c:f>synthetic!$F$4:$F$15</c:f>
              <c:numCache>
                <c:formatCode>#,##0.00\ "€"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synthetic!$E$4:$E$15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83-4DC7-8347-81CB9A728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748272"/>
        <c:axId val="639753848"/>
      </c:scatterChart>
      <c:valAx>
        <c:axId val="63974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#,##0.00\ &quot;€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39753848"/>
        <c:crosses val="autoZero"/>
        <c:crossBetween val="midCat"/>
      </c:valAx>
      <c:valAx>
        <c:axId val="63975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3974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15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ustomXml" Target="../ink/ink2.xml"/><Relationship Id="rId1" Type="http://schemas.openxmlformats.org/officeDocument/2006/relationships/chart" Target="../charts/chart2.xml"/><Relationship Id="rId15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ustomXml" Target="../ink/ink3.xml"/><Relationship Id="rId1" Type="http://schemas.openxmlformats.org/officeDocument/2006/relationships/chart" Target="../charts/chart3.xml"/><Relationship Id="rId1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304799</xdr:colOff>
      <xdr:row>1</xdr:row>
      <xdr:rowOff>176214</xdr:rowOff>
    </xdr:from>
    <xdr:to>
      <xdr:col>15</xdr:col>
      <xdr:colOff>261936</xdr:colOff>
      <xdr:row>19</xdr:row>
      <xdr:rowOff>133350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DFBCA23-BC2B-4519-B298-78BF6B449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416756</xdr:colOff>
      <xdr:row>21</xdr:row>
      <xdr:rowOff>0</xdr:rowOff>
    </xdr:from>
    <xdr:to>
      <xdr:col>13</xdr:col>
      <xdr:colOff>421076</xdr:colOff>
      <xdr:row>21</xdr:row>
      <xdr:rowOff>2287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9" name="Freihand 28">
              <a:extLst>
                <a:ext uri="{FF2B5EF4-FFF2-40B4-BE49-F238E27FC236}">
                  <a16:creationId xmlns:a16="http://schemas.microsoft.com/office/drawing/2014/main" id="{8D789208-BA11-DF9C-E7F9-23D1F2D15759}"/>
                </a:ext>
              </a:extLst>
            </xdr14:cNvPr>
            <xdr14:cNvContentPartPr/>
          </xdr14:nvContentPartPr>
          <xdr14:nvPr macro=""/>
          <xdr14:xfrm>
            <a:off x="14051113" y="4494600"/>
            <a:ext cx="4320" cy="3240"/>
          </xdr14:xfrm>
        </xdr:contentPart>
      </mc:Choice>
      <mc:Fallback xmlns="">
        <xdr:pic>
          <xdr:nvPicPr>
            <xdr:cNvPr id="29" name="Freihand 28">
              <a:extLst>
                <a:ext uri="{FF2B5EF4-FFF2-40B4-BE49-F238E27FC236}">
                  <a16:creationId xmlns:a16="http://schemas.microsoft.com/office/drawing/2014/main" id="{8D789208-BA11-DF9C-E7F9-23D1F2D1575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042113" y="4487850"/>
              <a:ext cx="21960" cy="1647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538162</xdr:colOff>
      <xdr:row>1</xdr:row>
      <xdr:rowOff>161926</xdr:rowOff>
    </xdr:from>
    <xdr:to>
      <xdr:col>14</xdr:col>
      <xdr:colOff>495299</xdr:colOff>
      <xdr:row>19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C18CB6E-4BD0-460D-917B-465963B3D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416756</xdr:colOff>
      <xdr:row>21</xdr:row>
      <xdr:rowOff>0</xdr:rowOff>
    </xdr:from>
    <xdr:to>
      <xdr:col>13</xdr:col>
      <xdr:colOff>421076</xdr:colOff>
      <xdr:row>21</xdr:row>
      <xdr:rowOff>2287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Freihand 2">
              <a:extLst>
                <a:ext uri="{FF2B5EF4-FFF2-40B4-BE49-F238E27FC236}">
                  <a16:creationId xmlns:a16="http://schemas.microsoft.com/office/drawing/2014/main" id="{ABA9C531-CBC2-4817-B196-D486162D14FB}"/>
                </a:ext>
              </a:extLst>
            </xdr14:cNvPr>
            <xdr14:cNvContentPartPr/>
          </xdr14:nvContentPartPr>
          <xdr14:nvPr macro=""/>
          <xdr14:xfrm>
            <a:off x="14051113" y="4494600"/>
            <a:ext cx="4320" cy="3240"/>
          </xdr14:xfrm>
        </xdr:contentPart>
      </mc:Choice>
      <mc:Fallback xmlns="">
        <xdr:pic>
          <xdr:nvPicPr>
            <xdr:cNvPr id="29" name="Freihand 28">
              <a:extLst>
                <a:ext uri="{FF2B5EF4-FFF2-40B4-BE49-F238E27FC236}">
                  <a16:creationId xmlns:a16="http://schemas.microsoft.com/office/drawing/2014/main" id="{8D789208-BA11-DF9C-E7F9-23D1F2D1575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042113" y="4487850"/>
              <a:ext cx="21960" cy="1647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761999</xdr:colOff>
      <xdr:row>18</xdr:row>
      <xdr:rowOff>5953</xdr:rowOff>
    </xdr:from>
    <xdr:to>
      <xdr:col>9</xdr:col>
      <xdr:colOff>392905</xdr:colOff>
      <xdr:row>22</xdr:row>
      <xdr:rowOff>83343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feld 20">
              <a:extLst>
                <a:ext uri="{FF2B5EF4-FFF2-40B4-BE49-F238E27FC236}">
                  <a16:creationId xmlns:a16="http://schemas.microsoft.com/office/drawing/2014/main" id="{DEA5F037-4A34-4D0B-BB4F-2C3CB990F4CE}"/>
                </a:ext>
              </a:extLst>
            </xdr:cNvPr>
            <xdr:cNvSpPr txBox="1"/>
          </xdr:nvSpPr>
          <xdr:spPr>
            <a:xfrm>
              <a:off x="4486274" y="3311128"/>
              <a:ext cx="3250406" cy="80129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de-DE" sz="2800"/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de-DE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pPr>
                    <m:e>
                      <m:r>
                        <a:rPr lang="de-DE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𝑝</m:t>
                      </m:r>
                    </m:e>
                    <m:sup>
                      <m:r>
                        <a:rPr lang="de-DE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∗</m:t>
                      </m:r>
                    </m:sup>
                  </m:sSup>
                  <m:r>
                    <a:rPr lang="de-DE" sz="28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de-DE" sz="28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d>
                    <m:dPr>
                      <m:ctrlP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de-DE" sz="28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de-DE" sz="28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𝑎</m:t>
                          </m:r>
                        </m:num>
                        <m:den>
                          <m:r>
                            <a:rPr lang="de-DE" sz="28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𝑏</m:t>
                          </m:r>
                        </m:den>
                      </m:f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𝑘</m:t>
                      </m:r>
                    </m:e>
                  </m:d>
                </m:oMath>
              </a14:m>
              <a:endParaRPr lang="de-DE" sz="280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feld 20">
              <a:extLst>
                <a:ext uri="{FF2B5EF4-FFF2-40B4-BE49-F238E27FC236}">
                  <a16:creationId xmlns:a16="http://schemas.microsoft.com/office/drawing/2014/main" id="{DEA5F037-4A34-4D0B-BB4F-2C3CB990F4CE}"/>
                </a:ext>
              </a:extLst>
            </xdr:cNvPr>
            <xdr:cNvSpPr txBox="1"/>
          </xdr:nvSpPr>
          <xdr:spPr>
            <a:xfrm>
              <a:off x="4486274" y="3311128"/>
              <a:ext cx="3250406" cy="80129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de-DE" sz="2800"/>
                <a:t> </a:t>
              </a:r>
              <a:r>
                <a:rPr lang="de-DE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𝑝^∗=</a:t>
              </a:r>
              <a:r>
                <a:rPr lang="de-DE" sz="2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1/2</a:t>
              </a:r>
              <a:r>
                <a:rPr lang="de-DE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de-DE" sz="2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(𝑎/𝑏+𝑘)</a:t>
              </a:r>
              <a:endParaRPr lang="de-DE" sz="280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538162</xdr:colOff>
      <xdr:row>1</xdr:row>
      <xdr:rowOff>161926</xdr:rowOff>
    </xdr:from>
    <xdr:to>
      <xdr:col>14</xdr:col>
      <xdr:colOff>495299</xdr:colOff>
      <xdr:row>19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FD73DEA-9401-4C15-8360-DC4D0AEBB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416756</xdr:colOff>
      <xdr:row>21</xdr:row>
      <xdr:rowOff>0</xdr:rowOff>
    </xdr:from>
    <xdr:to>
      <xdr:col>13</xdr:col>
      <xdr:colOff>421076</xdr:colOff>
      <xdr:row>21</xdr:row>
      <xdr:rowOff>2287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Freihand 2">
              <a:extLst>
                <a:ext uri="{FF2B5EF4-FFF2-40B4-BE49-F238E27FC236}">
                  <a16:creationId xmlns:a16="http://schemas.microsoft.com/office/drawing/2014/main" id="{6C97F733-8593-493A-9656-5DA078AC59DB}"/>
                </a:ext>
              </a:extLst>
            </xdr14:cNvPr>
            <xdr14:cNvContentPartPr/>
          </xdr14:nvContentPartPr>
          <xdr14:nvPr macro=""/>
          <xdr14:xfrm>
            <a:off x="14051113" y="4494600"/>
            <a:ext cx="4320" cy="3240"/>
          </xdr14:xfrm>
        </xdr:contentPart>
      </mc:Choice>
      <mc:Fallback xmlns="">
        <xdr:pic>
          <xdr:nvPicPr>
            <xdr:cNvPr id="29" name="Freihand 28">
              <a:extLst>
                <a:ext uri="{FF2B5EF4-FFF2-40B4-BE49-F238E27FC236}">
                  <a16:creationId xmlns:a16="http://schemas.microsoft.com/office/drawing/2014/main" id="{8D789208-BA11-DF9C-E7F9-23D1F2D1575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042113" y="4487850"/>
              <a:ext cx="21960" cy="1647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761999</xdr:colOff>
      <xdr:row>18</xdr:row>
      <xdr:rowOff>5953</xdr:rowOff>
    </xdr:from>
    <xdr:to>
      <xdr:col>9</xdr:col>
      <xdr:colOff>392905</xdr:colOff>
      <xdr:row>22</xdr:row>
      <xdr:rowOff>83343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feld 20">
              <a:extLst>
                <a:ext uri="{FF2B5EF4-FFF2-40B4-BE49-F238E27FC236}">
                  <a16:creationId xmlns:a16="http://schemas.microsoft.com/office/drawing/2014/main" id="{E0B91FDC-6D3C-4171-9CB9-57CC340F04CE}"/>
                </a:ext>
              </a:extLst>
            </xdr:cNvPr>
            <xdr:cNvSpPr txBox="1"/>
          </xdr:nvSpPr>
          <xdr:spPr>
            <a:xfrm>
              <a:off x="4543424" y="3311128"/>
              <a:ext cx="3250406" cy="80129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de-DE" sz="2800"/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de-DE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pPr>
                    <m:e>
                      <m:r>
                        <a:rPr lang="de-DE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𝑝</m:t>
                      </m:r>
                    </m:e>
                    <m:sup>
                      <m:r>
                        <a:rPr lang="de-DE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∗</m:t>
                      </m:r>
                    </m:sup>
                  </m:sSup>
                  <m:r>
                    <a:rPr lang="de-DE" sz="28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de-DE" sz="28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d>
                    <m:dPr>
                      <m:ctrlP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de-DE" sz="28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de-DE" sz="28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𝑎</m:t>
                          </m:r>
                        </m:num>
                        <m:den>
                          <m:r>
                            <a:rPr lang="de-DE" sz="2800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𝑏</m:t>
                          </m:r>
                        </m:den>
                      </m:f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de-DE" sz="28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𝑘</m:t>
                      </m:r>
                    </m:e>
                  </m:d>
                </m:oMath>
              </a14:m>
              <a:endParaRPr lang="de-DE" sz="280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feld 20">
              <a:extLst>
                <a:ext uri="{FF2B5EF4-FFF2-40B4-BE49-F238E27FC236}">
                  <a16:creationId xmlns:a16="http://schemas.microsoft.com/office/drawing/2014/main" id="{E0B91FDC-6D3C-4171-9CB9-57CC340F04CE}"/>
                </a:ext>
              </a:extLst>
            </xdr:cNvPr>
            <xdr:cNvSpPr txBox="1"/>
          </xdr:nvSpPr>
          <xdr:spPr>
            <a:xfrm>
              <a:off x="4543424" y="3311128"/>
              <a:ext cx="3250406" cy="80129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de-DE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de-DE" sz="2800"/>
                <a:t> </a:t>
              </a:r>
              <a:r>
                <a:rPr lang="de-DE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𝑝^∗=</a:t>
              </a:r>
              <a:r>
                <a:rPr lang="de-DE" sz="2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1/2</a:t>
              </a:r>
              <a:r>
                <a:rPr lang="de-DE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de-DE" sz="2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(𝑎/𝑏+𝑘)</a:t>
              </a:r>
              <a:endParaRPr lang="de-DE" sz="280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3T10:49:09.7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5 499 14279 0 0,'-3'0'1272'0'0,"1"0"-1016"0"0,4 0-256 0 0,-1-3 0 0 0,1 3 96 0 0,-2-2-24 0 0,2 0-8 0 0,2-3-2904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2T14:36:10.7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5 499 14279 0 0,'-3'0'1272'0'0,"1"0"-1016"0"0,4 0-256 0 0,-1-3 0 0 0,1 3 96 0 0,-2-2-24 0 0,2 0-8 0 0,2-3-2904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12T14:37:16.3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5 499 14279 0 0,'-3'0'1272'0'0,"1"0"-1016"0"0,4 0-256 0 0,-1-3 0 0 0,1 3 96 0 0,-2-2-24 0 0,2 0-8 0 0,2-3-2904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tabSelected="1" zoomScaleNormal="100" workbookViewId="0">
      <selection activeCell="C36" sqref="C36"/>
    </sheetView>
  </sheetViews>
  <sheetFormatPr defaultColWidth="11.42578125" defaultRowHeight="15" x14ac:dyDescent="0.25"/>
  <cols>
    <col min="1" max="1" width="6.85546875" bestFit="1" customWidth="1"/>
    <col min="2" max="2" width="10" bestFit="1" customWidth="1"/>
    <col min="3" max="3" width="16.28515625" bestFit="1" customWidth="1"/>
    <col min="4" max="4" width="5.28515625" bestFit="1" customWidth="1"/>
    <col min="5" max="5" width="7.5703125" bestFit="1" customWidth="1"/>
    <col min="6" max="6" width="10.5703125"/>
    <col min="7" max="7" width="3.5703125" style="3" customWidth="1"/>
    <col min="8" max="8" width="13.28515625" style="3" customWidth="1"/>
    <col min="9" max="9" width="7.28515625" style="3" customWidth="1"/>
    <col min="10" max="16384" width="11.42578125" style="3"/>
  </cols>
  <sheetData>
    <row r="1" spans="1:27" customFormat="1" ht="18.75" x14ac:dyDescent="0.3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3"/>
      <c r="B2" s="3"/>
      <c r="C2" s="3"/>
      <c r="D2" s="3"/>
      <c r="E2" s="3"/>
      <c r="F2" s="3"/>
    </row>
    <row r="3" spans="1:27" x14ac:dyDescent="0.25">
      <c r="A3" s="2"/>
      <c r="B3" s="14" t="s">
        <v>18</v>
      </c>
      <c r="C3" s="14" t="s">
        <v>21</v>
      </c>
      <c r="D3" s="14"/>
      <c r="E3" s="14" t="s">
        <v>20</v>
      </c>
      <c r="F3" s="14" t="s">
        <v>8</v>
      </c>
      <c r="H3" s="5" t="s">
        <v>4</v>
      </c>
    </row>
    <row r="4" spans="1:27" x14ac:dyDescent="0.25">
      <c r="A4" s="3"/>
      <c r="B4" s="8">
        <v>1</v>
      </c>
      <c r="C4" s="9">
        <v>0</v>
      </c>
      <c r="D4" s="3"/>
      <c r="E4" s="8">
        <f>COUNTIF(C4:C28,"&gt;=0")</f>
        <v>24</v>
      </c>
      <c r="F4" s="13">
        <v>0</v>
      </c>
    </row>
    <row r="5" spans="1:27" x14ac:dyDescent="0.25">
      <c r="A5" s="3"/>
      <c r="B5" s="8">
        <v>2</v>
      </c>
      <c r="C5" s="9">
        <v>0.2</v>
      </c>
      <c r="D5" s="3"/>
      <c r="E5" s="8">
        <f>COUNTIF(C4:C27,"&gt;=0.5")</f>
        <v>22</v>
      </c>
      <c r="F5" s="13">
        <v>0.5</v>
      </c>
      <c r="I5" s="4"/>
    </row>
    <row r="6" spans="1:27" x14ac:dyDescent="0.25">
      <c r="A6" s="3"/>
      <c r="B6" s="8">
        <v>3</v>
      </c>
      <c r="C6" s="9">
        <v>0.5</v>
      </c>
      <c r="D6" s="3"/>
      <c r="E6" s="8">
        <f>COUNTIF(C4:C28,"&gt;=1.0")</f>
        <v>17</v>
      </c>
      <c r="F6" s="13">
        <v>1</v>
      </c>
      <c r="H6" s="3" t="s">
        <v>10</v>
      </c>
      <c r="I6" s="4">
        <v>0.5</v>
      </c>
    </row>
    <row r="7" spans="1:27" x14ac:dyDescent="0.25">
      <c r="A7" s="3"/>
      <c r="B7" s="8">
        <v>4</v>
      </c>
      <c r="C7" s="9">
        <v>0.5</v>
      </c>
      <c r="D7" s="3"/>
      <c r="E7" s="8">
        <f>COUNTIF(C4:C28,"&gt;=1.5")</f>
        <v>14</v>
      </c>
      <c r="F7" s="13">
        <v>1.5</v>
      </c>
      <c r="I7" s="4"/>
    </row>
    <row r="8" spans="1:27" x14ac:dyDescent="0.25">
      <c r="A8" s="3"/>
      <c r="B8" s="8">
        <v>5</v>
      </c>
      <c r="C8" s="9">
        <v>0.75</v>
      </c>
      <c r="D8" s="3"/>
      <c r="E8" s="8">
        <f>COUNTIF(C4:C28,"&gt;=2.0")</f>
        <v>11</v>
      </c>
      <c r="F8" s="13">
        <v>2</v>
      </c>
      <c r="H8" s="5" t="s">
        <v>17</v>
      </c>
      <c r="I8" s="4"/>
    </row>
    <row r="9" spans="1:27" x14ac:dyDescent="0.25">
      <c r="A9" s="3"/>
      <c r="B9" s="8">
        <v>6</v>
      </c>
      <c r="C9" s="9">
        <v>0.89</v>
      </c>
      <c r="D9" s="3"/>
      <c r="E9" s="8">
        <f>COUNTIF(C4:C28,"&gt;=2.5")</f>
        <v>8</v>
      </c>
      <c r="F9" s="13">
        <v>2.5</v>
      </c>
      <c r="H9" s="3" t="s">
        <v>15</v>
      </c>
      <c r="I9" s="4">
        <f>D44</f>
        <v>21.602564102564106</v>
      </c>
    </row>
    <row r="10" spans="1:27" x14ac:dyDescent="0.25">
      <c r="A10" s="3"/>
      <c r="B10" s="8">
        <v>7</v>
      </c>
      <c r="C10" s="9">
        <v>0.55000000000000004</v>
      </c>
      <c r="D10" s="3"/>
      <c r="E10" s="8">
        <f>COUNTIF(C4:C28,"&gt;=3.0")</f>
        <v>6</v>
      </c>
      <c r="F10" s="13">
        <v>3</v>
      </c>
      <c r="H10" s="3" t="s">
        <v>16</v>
      </c>
      <c r="I10" s="4">
        <f>C44</f>
        <v>-4.5524475524475534</v>
      </c>
    </row>
    <row r="11" spans="1:27" x14ac:dyDescent="0.25">
      <c r="A11" s="3"/>
      <c r="B11" s="8">
        <v>8</v>
      </c>
      <c r="C11" s="9">
        <v>1</v>
      </c>
      <c r="D11" s="3"/>
      <c r="E11" s="8">
        <f>COUNTIF(C4:C28,"&gt;=3.5")</f>
        <v>3</v>
      </c>
      <c r="F11" s="13">
        <v>3.5</v>
      </c>
      <c r="I11" s="4"/>
    </row>
    <row r="12" spans="1:27" x14ac:dyDescent="0.25">
      <c r="A12" s="3"/>
      <c r="B12" s="8">
        <v>9</v>
      </c>
      <c r="C12" s="9">
        <v>1</v>
      </c>
      <c r="D12" s="3"/>
      <c r="E12" s="8">
        <f>COUNTIF(C4:C28,"&gt;=4.0")</f>
        <v>2</v>
      </c>
      <c r="F12" s="13">
        <v>4</v>
      </c>
      <c r="I12" s="4"/>
    </row>
    <row r="13" spans="1:27" x14ac:dyDescent="0.25">
      <c r="A13" s="3"/>
      <c r="B13" s="8">
        <v>10</v>
      </c>
      <c r="C13" s="9">
        <v>1</v>
      </c>
      <c r="D13" s="3"/>
      <c r="E13" s="8">
        <f>COUNTIF(C4:C28,"&gt;=4.5")</f>
        <v>1</v>
      </c>
      <c r="F13" s="13">
        <v>4.5</v>
      </c>
      <c r="H13" s="5" t="s">
        <v>14</v>
      </c>
      <c r="I13" s="4"/>
    </row>
    <row r="14" spans="1:27" ht="15.75" thickBot="1" x14ac:dyDescent="0.3">
      <c r="A14" s="3"/>
      <c r="B14" s="8">
        <v>11</v>
      </c>
      <c r="C14" s="9">
        <v>1.5</v>
      </c>
      <c r="D14" s="3"/>
      <c r="E14" s="8">
        <f>COUNTIF(C4:C28,"&gt;=5.0")</f>
        <v>1</v>
      </c>
      <c r="F14" s="13">
        <v>5</v>
      </c>
      <c r="H14" s="3" t="s">
        <v>2</v>
      </c>
      <c r="I14" s="15">
        <f>0.5*((I9/-I10)+I6)</f>
        <v>2.6226318484382998</v>
      </c>
    </row>
    <row r="15" spans="1:27" ht="15.75" thickTop="1" x14ac:dyDescent="0.25">
      <c r="A15" s="3"/>
      <c r="B15" s="8">
        <v>12</v>
      </c>
      <c r="C15" s="9">
        <v>1.5</v>
      </c>
      <c r="D15" s="3"/>
      <c r="E15" s="8">
        <f>COUNTIF(C4:C28,"&gt;=5.5")</f>
        <v>0</v>
      </c>
      <c r="F15" s="13">
        <v>5.5</v>
      </c>
      <c r="I15" s="4"/>
    </row>
    <row r="16" spans="1:27" x14ac:dyDescent="0.25">
      <c r="A16" s="3"/>
      <c r="B16" s="8">
        <v>13</v>
      </c>
      <c r="C16" s="9">
        <v>1.99</v>
      </c>
      <c r="D16" s="3"/>
      <c r="E16" s="6"/>
      <c r="F16" s="7"/>
      <c r="I16" s="4"/>
    </row>
    <row r="17" spans="1:9" x14ac:dyDescent="0.25">
      <c r="A17" s="3"/>
      <c r="B17" s="8">
        <v>14</v>
      </c>
      <c r="C17" s="9">
        <v>2</v>
      </c>
      <c r="D17" s="3"/>
      <c r="E17" s="6"/>
      <c r="F17" s="7"/>
      <c r="I17" s="4"/>
    </row>
    <row r="18" spans="1:9" x14ac:dyDescent="0.25">
      <c r="A18" s="3"/>
      <c r="B18" s="8">
        <v>15</v>
      </c>
      <c r="C18" s="9">
        <v>2</v>
      </c>
      <c r="D18" s="3"/>
      <c r="E18" s="6"/>
      <c r="F18" s="7"/>
    </row>
    <row r="19" spans="1:9" x14ac:dyDescent="0.25">
      <c r="A19" s="3"/>
      <c r="B19" s="8">
        <v>16</v>
      </c>
      <c r="C19" s="9">
        <v>2</v>
      </c>
      <c r="D19" s="3"/>
      <c r="E19" s="6"/>
      <c r="F19" s="7"/>
      <c r="I19" s="4"/>
    </row>
    <row r="20" spans="1:9" x14ac:dyDescent="0.25">
      <c r="A20" s="3"/>
      <c r="B20" s="8">
        <v>17</v>
      </c>
      <c r="C20" s="9">
        <v>2.5</v>
      </c>
      <c r="D20" s="3"/>
      <c r="E20" s="6"/>
      <c r="F20" s="7"/>
    </row>
    <row r="21" spans="1:9" x14ac:dyDescent="0.25">
      <c r="A21" s="3"/>
      <c r="B21" s="8">
        <v>18</v>
      </c>
      <c r="C21" s="9">
        <v>2.99</v>
      </c>
      <c r="D21" s="3"/>
      <c r="E21" s="6"/>
      <c r="F21" s="7"/>
    </row>
    <row r="22" spans="1:9" x14ac:dyDescent="0.25">
      <c r="A22" s="3"/>
      <c r="B22" s="8">
        <v>19</v>
      </c>
      <c r="C22" s="9">
        <v>3</v>
      </c>
      <c r="D22" s="3"/>
      <c r="E22" s="6"/>
      <c r="F22" s="7"/>
    </row>
    <row r="23" spans="1:9" x14ac:dyDescent="0.25">
      <c r="A23" s="3"/>
      <c r="B23" s="8">
        <v>20</v>
      </c>
      <c r="C23" s="9">
        <v>3</v>
      </c>
      <c r="D23" s="3"/>
      <c r="E23" s="6"/>
      <c r="F23" s="7"/>
    </row>
    <row r="24" spans="1:9" x14ac:dyDescent="0.25">
      <c r="A24" s="3"/>
      <c r="B24" s="8">
        <v>21</v>
      </c>
      <c r="C24" s="9">
        <v>3</v>
      </c>
      <c r="D24" s="3"/>
      <c r="E24" s="6"/>
      <c r="F24" s="7"/>
    </row>
    <row r="25" spans="1:9" x14ac:dyDescent="0.25">
      <c r="A25" s="3"/>
      <c r="B25" s="8">
        <v>22</v>
      </c>
      <c r="C25" s="9">
        <v>3.5</v>
      </c>
      <c r="D25" s="3"/>
      <c r="E25" s="6"/>
      <c r="F25" s="7"/>
    </row>
    <row r="26" spans="1:9" x14ac:dyDescent="0.25">
      <c r="A26" s="3"/>
      <c r="B26" s="8">
        <v>23</v>
      </c>
      <c r="C26" s="9">
        <v>4</v>
      </c>
      <c r="D26" s="3"/>
      <c r="E26" s="6"/>
      <c r="F26" s="7"/>
    </row>
    <row r="27" spans="1:9" x14ac:dyDescent="0.25">
      <c r="A27" s="3"/>
      <c r="B27" s="8">
        <v>24</v>
      </c>
      <c r="C27" s="9">
        <v>5</v>
      </c>
      <c r="D27" s="3"/>
      <c r="E27" s="6"/>
      <c r="F27" s="7"/>
    </row>
    <row r="28" spans="1:9" x14ac:dyDescent="0.25">
      <c r="A28" s="3"/>
      <c r="B28" s="3"/>
      <c r="C28" s="3"/>
      <c r="D28" s="3"/>
      <c r="E28" s="6"/>
      <c r="F28" s="7"/>
    </row>
    <row r="29" spans="1:9" x14ac:dyDescent="0.25">
      <c r="A29" s="3"/>
      <c r="B29" s="3"/>
      <c r="C29" s="3"/>
      <c r="D29" s="3"/>
      <c r="E29" s="6"/>
      <c r="F29" s="7"/>
    </row>
    <row r="30" spans="1:9" x14ac:dyDescent="0.25">
      <c r="A30" s="3"/>
      <c r="B30" s="3"/>
      <c r="C30" s="3"/>
      <c r="D30" s="3"/>
      <c r="E30" s="6"/>
      <c r="F30" s="7"/>
    </row>
    <row r="31" spans="1:9" x14ac:dyDescent="0.25">
      <c r="A31" s="3"/>
      <c r="B31" s="3"/>
      <c r="C31" s="3"/>
      <c r="D31" s="3"/>
      <c r="E31" s="6"/>
      <c r="F31" s="7"/>
    </row>
    <row r="32" spans="1:9" x14ac:dyDescent="0.25">
      <c r="A32" s="3"/>
      <c r="B32" s="3"/>
      <c r="C32" s="3"/>
      <c r="D32" s="3"/>
      <c r="E32" s="6"/>
      <c r="F32" s="7"/>
    </row>
    <row r="33" spans="1:6" x14ac:dyDescent="0.25">
      <c r="A33" s="3"/>
      <c r="B33" s="3"/>
      <c r="C33" s="3"/>
      <c r="D33" s="3"/>
      <c r="E33" s="6"/>
      <c r="F33" s="7"/>
    </row>
    <row r="34" spans="1:6" x14ac:dyDescent="0.25">
      <c r="A34" s="3"/>
      <c r="B34" s="3"/>
      <c r="C34" s="3"/>
      <c r="D34" s="3"/>
      <c r="E34" s="6"/>
      <c r="F34" s="7"/>
    </row>
    <row r="35" spans="1:6" x14ac:dyDescent="0.25">
      <c r="A35" s="3"/>
      <c r="B35" s="3"/>
      <c r="C35" s="3"/>
      <c r="D35" s="3"/>
      <c r="E35" s="6"/>
      <c r="F35" s="7"/>
    </row>
    <row r="36" spans="1:6" x14ac:dyDescent="0.25">
      <c r="A36" s="3"/>
      <c r="B36" s="3"/>
      <c r="C36" s="3"/>
      <c r="D36" s="3"/>
      <c r="E36" s="6"/>
      <c r="F36" s="7"/>
    </row>
    <row r="37" spans="1:6" x14ac:dyDescent="0.25">
      <c r="A37" s="3"/>
      <c r="B37" s="3"/>
      <c r="C37" s="3"/>
      <c r="D37" s="3"/>
      <c r="E37" s="6"/>
      <c r="F37" s="7"/>
    </row>
    <row r="38" spans="1:6" x14ac:dyDescent="0.25">
      <c r="A38" s="3"/>
      <c r="B38" s="3"/>
      <c r="C38" s="3"/>
      <c r="D38" s="3"/>
      <c r="E38" s="6"/>
      <c r="F38" s="7"/>
    </row>
    <row r="39" spans="1:6" x14ac:dyDescent="0.25">
      <c r="A39" s="3"/>
      <c r="B39" s="3"/>
      <c r="C39" s="3"/>
      <c r="D39" s="3"/>
      <c r="E39" s="6"/>
      <c r="F39" s="7"/>
    </row>
    <row r="40" spans="1:6" x14ac:dyDescent="0.25">
      <c r="A40" s="3"/>
      <c r="B40" s="3"/>
      <c r="C40" s="3"/>
      <c r="D40" s="3"/>
      <c r="E40" s="6"/>
      <c r="F40" s="7"/>
    </row>
    <row r="41" spans="1:6" x14ac:dyDescent="0.25">
      <c r="A41" s="3"/>
      <c r="B41" s="3"/>
      <c r="C41" s="3"/>
      <c r="D41" s="3"/>
      <c r="E41" s="6"/>
      <c r="F41" s="7"/>
    </row>
    <row r="42" spans="1:6" hidden="1" x14ac:dyDescent="0.25">
      <c r="A42" s="3"/>
      <c r="B42" s="3"/>
      <c r="C42" s="3"/>
      <c r="D42" s="3"/>
      <c r="E42" s="6"/>
      <c r="F42" s="7"/>
    </row>
    <row r="43" spans="1:6" hidden="1" x14ac:dyDescent="0.25">
      <c r="A43" s="3"/>
      <c r="B43" s="3"/>
      <c r="C43" s="3" t="s">
        <v>3</v>
      </c>
      <c r="D43" s="3"/>
      <c r="E43" s="6"/>
      <c r="F43" s="7"/>
    </row>
    <row r="44" spans="1:6" hidden="1" x14ac:dyDescent="0.25">
      <c r="A44" s="3"/>
      <c r="B44" s="3"/>
      <c r="C44" s="4" cm="1">
        <f t="array" ref="C44:D44">LINEST(E4:E15,F4:F15,1,0)</f>
        <v>-4.5524475524475534</v>
      </c>
      <c r="D44" s="4">
        <v>21.602564102564106</v>
      </c>
      <c r="E44" s="4"/>
      <c r="F44" s="3"/>
    </row>
    <row r="45" spans="1:6" hidden="1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6C9C-DA11-4F1D-9CC4-88DAC2249422}">
  <dimension ref="A1:AA71"/>
  <sheetViews>
    <sheetView zoomScaleNormal="100" workbookViewId="0">
      <selection activeCell="E23" sqref="E23"/>
    </sheetView>
  </sheetViews>
  <sheetFormatPr defaultColWidth="11.42578125" defaultRowHeight="15" x14ac:dyDescent="0.25"/>
  <cols>
    <col min="1" max="1" width="6.85546875" bestFit="1" customWidth="1"/>
    <col min="2" max="2" width="10" bestFit="1" customWidth="1"/>
    <col min="3" max="3" width="11.7109375" bestFit="1" customWidth="1"/>
    <col min="4" max="4" width="5.28515625" bestFit="1" customWidth="1"/>
    <col min="5" max="5" width="7.5703125" bestFit="1" customWidth="1"/>
    <col min="7" max="7" width="11.42578125" style="3"/>
    <col min="8" max="8" width="16.85546875" style="3" customWidth="1"/>
    <col min="9" max="9" width="22.42578125" style="3" bestFit="1" customWidth="1"/>
    <col min="10" max="16384" width="11.42578125" style="3"/>
  </cols>
  <sheetData>
    <row r="1" spans="1:27" customFormat="1" ht="18.75" x14ac:dyDescent="0.3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3"/>
      <c r="B2" s="3"/>
      <c r="C2" s="3"/>
      <c r="D2" s="3"/>
      <c r="E2" s="3"/>
      <c r="F2" s="3"/>
    </row>
    <row r="3" spans="1:27" x14ac:dyDescent="0.25">
      <c r="A3" s="2"/>
      <c r="B3" s="14" t="s">
        <v>5</v>
      </c>
      <c r="C3" s="14" t="s">
        <v>7</v>
      </c>
      <c r="D3" s="14"/>
      <c r="E3" s="14" t="s">
        <v>9</v>
      </c>
      <c r="F3" s="14" t="s">
        <v>8</v>
      </c>
      <c r="H3" s="5" t="s">
        <v>4</v>
      </c>
    </row>
    <row r="4" spans="1:27" x14ac:dyDescent="0.25">
      <c r="A4" s="3"/>
      <c r="B4" s="8">
        <v>1</v>
      </c>
      <c r="C4" s="10"/>
      <c r="D4" s="3"/>
      <c r="E4" s="8">
        <f>COUNTIF(C4:C28,"&gt;=0")</f>
        <v>0</v>
      </c>
      <c r="F4" s="13">
        <v>0</v>
      </c>
    </row>
    <row r="5" spans="1:27" x14ac:dyDescent="0.25">
      <c r="A5" s="3"/>
      <c r="B5" s="8">
        <v>2</v>
      </c>
      <c r="C5" s="11"/>
      <c r="D5" s="3"/>
      <c r="E5" s="8">
        <f>COUNTIF(C4:C28,"&gt;=0,5")</f>
        <v>0</v>
      </c>
      <c r="F5" s="13">
        <v>0.5</v>
      </c>
      <c r="I5" s="4"/>
    </row>
    <row r="6" spans="1:27" x14ac:dyDescent="0.25">
      <c r="A6" s="3"/>
      <c r="B6" s="8">
        <v>3</v>
      </c>
      <c r="C6" s="11"/>
      <c r="D6" s="3"/>
      <c r="E6" s="8">
        <f>COUNTIF(C4:C28,"&gt;=1,0")</f>
        <v>0</v>
      </c>
      <c r="F6" s="13">
        <v>1</v>
      </c>
      <c r="H6" s="3" t="s">
        <v>10</v>
      </c>
      <c r="I6" s="4">
        <v>0.5</v>
      </c>
    </row>
    <row r="7" spans="1:27" x14ac:dyDescent="0.25">
      <c r="A7" s="3"/>
      <c r="B7" s="8">
        <v>4</v>
      </c>
      <c r="C7" s="11"/>
      <c r="D7" s="3"/>
      <c r="E7" s="8">
        <f>COUNTIF(C4:C28,"&gt;=1,5")</f>
        <v>0</v>
      </c>
      <c r="F7" s="13">
        <v>1.5</v>
      </c>
      <c r="I7" s="4"/>
    </row>
    <row r="8" spans="1:27" x14ac:dyDescent="0.25">
      <c r="A8" s="3"/>
      <c r="B8" s="8">
        <v>5</v>
      </c>
      <c r="C8" s="11"/>
      <c r="D8" s="3"/>
      <c r="E8" s="8">
        <f>COUNTIF(C4:C28,"&gt;=2,0")</f>
        <v>0</v>
      </c>
      <c r="F8" s="13">
        <v>2</v>
      </c>
      <c r="H8" s="5" t="s">
        <v>11</v>
      </c>
      <c r="I8" s="4"/>
    </row>
    <row r="9" spans="1:27" x14ac:dyDescent="0.25">
      <c r="A9" s="3"/>
      <c r="B9" s="8">
        <v>6</v>
      </c>
      <c r="C9" s="11"/>
      <c r="D9" s="3"/>
      <c r="E9" s="8">
        <f>COUNTIF(C4:C28,"&gt;=2,5")</f>
        <v>0</v>
      </c>
      <c r="F9" s="13">
        <v>2.5</v>
      </c>
      <c r="H9" s="3" t="s">
        <v>0</v>
      </c>
      <c r="I9" s="4">
        <f>D45</f>
        <v>0</v>
      </c>
    </row>
    <row r="10" spans="1:27" x14ac:dyDescent="0.25">
      <c r="A10" s="3"/>
      <c r="B10" s="8">
        <v>7</v>
      </c>
      <c r="C10" s="11"/>
      <c r="D10" s="3"/>
      <c r="E10" s="8">
        <f>COUNTIF(C4:C28,"&gt;=3,0")</f>
        <v>0</v>
      </c>
      <c r="F10" s="13">
        <v>3</v>
      </c>
      <c r="H10" s="3" t="s">
        <v>1</v>
      </c>
      <c r="I10" s="4">
        <f>C45</f>
        <v>0</v>
      </c>
    </row>
    <row r="11" spans="1:27" x14ac:dyDescent="0.25">
      <c r="A11" s="3"/>
      <c r="B11" s="8">
        <v>8</v>
      </c>
      <c r="C11" s="11"/>
      <c r="D11" s="3"/>
      <c r="E11" s="8">
        <f>COUNTIF(C4:C28,"&gt;=3,5")</f>
        <v>0</v>
      </c>
      <c r="F11" s="13">
        <v>3.5</v>
      </c>
      <c r="I11" s="4"/>
    </row>
    <row r="12" spans="1:27" x14ac:dyDescent="0.25">
      <c r="A12" s="3"/>
      <c r="B12" s="8">
        <v>9</v>
      </c>
      <c r="C12" s="11"/>
      <c r="D12" s="3"/>
      <c r="E12" s="8">
        <f>COUNTIF(C4:C28,"&gt;=4,0")</f>
        <v>0</v>
      </c>
      <c r="F12" s="13">
        <v>4</v>
      </c>
      <c r="I12" s="4"/>
    </row>
    <row r="13" spans="1:27" x14ac:dyDescent="0.25">
      <c r="A13" s="3"/>
      <c r="B13" s="8">
        <v>10</v>
      </c>
      <c r="C13" s="11"/>
      <c r="D13" s="3"/>
      <c r="E13" s="8">
        <f>COUNTIF(C4:C28,"&gt;=4,5")</f>
        <v>0</v>
      </c>
      <c r="F13" s="13">
        <v>4.5</v>
      </c>
      <c r="I13" s="4"/>
    </row>
    <row r="14" spans="1:27" x14ac:dyDescent="0.25">
      <c r="A14" s="3"/>
      <c r="B14" s="8">
        <v>11</v>
      </c>
      <c r="C14" s="11"/>
      <c r="D14" s="3"/>
      <c r="E14" s="8">
        <f>COUNTIF(C4:C28,"&gt;=5,0")</f>
        <v>0</v>
      </c>
      <c r="F14" s="13">
        <v>5</v>
      </c>
      <c r="H14" s="3" t="s">
        <v>2</v>
      </c>
      <c r="I14" s="4" t="e">
        <f>0.5*((I9/-I10)+I6)</f>
        <v>#DIV/0!</v>
      </c>
    </row>
    <row r="15" spans="1:27" x14ac:dyDescent="0.25">
      <c r="A15" s="3"/>
      <c r="B15" s="8">
        <v>12</v>
      </c>
      <c r="C15" s="11"/>
      <c r="D15" s="3"/>
      <c r="E15" s="8">
        <f>COUNTIF(C4:C28,"&gt;=5,5")</f>
        <v>0</v>
      </c>
      <c r="F15" s="13">
        <v>5.5</v>
      </c>
      <c r="I15" s="4"/>
    </row>
    <row r="16" spans="1:27" x14ac:dyDescent="0.25">
      <c r="A16" s="3"/>
      <c r="B16" s="8">
        <v>13</v>
      </c>
      <c r="C16" s="11"/>
      <c r="D16" s="3"/>
      <c r="E16" s="6"/>
      <c r="F16" s="7"/>
      <c r="I16" s="4"/>
    </row>
    <row r="17" spans="1:9" x14ac:dyDescent="0.25">
      <c r="A17" s="3"/>
      <c r="B17" s="8">
        <v>14</v>
      </c>
      <c r="C17" s="11"/>
      <c r="D17" s="3"/>
      <c r="E17" s="6"/>
      <c r="F17" s="7"/>
      <c r="I17" s="4"/>
    </row>
    <row r="18" spans="1:9" x14ac:dyDescent="0.25">
      <c r="A18" s="3"/>
      <c r="B18" s="8">
        <v>15</v>
      </c>
      <c r="C18" s="11"/>
      <c r="D18" s="3"/>
      <c r="E18" s="6"/>
      <c r="F18" s="7"/>
    </row>
    <row r="19" spans="1:9" x14ac:dyDescent="0.25">
      <c r="A19" s="3"/>
      <c r="B19" s="8">
        <v>16</v>
      </c>
      <c r="C19" s="11"/>
      <c r="D19" s="3"/>
      <c r="E19" s="6"/>
      <c r="F19" s="7"/>
      <c r="I19" s="4"/>
    </row>
    <row r="20" spans="1:9" x14ac:dyDescent="0.25">
      <c r="A20" s="3"/>
      <c r="B20" s="8">
        <v>17</v>
      </c>
      <c r="C20" s="11"/>
      <c r="D20" s="3"/>
      <c r="E20" s="6"/>
      <c r="F20" s="7"/>
    </row>
    <row r="21" spans="1:9" x14ac:dyDescent="0.25">
      <c r="A21" s="3"/>
      <c r="B21" s="8">
        <v>18</v>
      </c>
      <c r="C21" s="11"/>
      <c r="D21" s="3"/>
      <c r="E21" s="6"/>
      <c r="F21" s="7"/>
    </row>
    <row r="22" spans="1:9" x14ac:dyDescent="0.25">
      <c r="A22" s="3"/>
      <c r="B22" s="8">
        <v>19</v>
      </c>
      <c r="C22" s="11"/>
      <c r="D22" s="3"/>
      <c r="E22" s="6"/>
      <c r="F22" s="7"/>
    </row>
    <row r="23" spans="1:9" x14ac:dyDescent="0.25">
      <c r="A23" s="3"/>
      <c r="B23" s="8">
        <v>20</v>
      </c>
      <c r="C23" s="11"/>
      <c r="D23" s="3"/>
      <c r="E23" s="6"/>
      <c r="F23" s="7"/>
    </row>
    <row r="24" spans="1:9" x14ac:dyDescent="0.25">
      <c r="A24" s="3"/>
      <c r="B24" s="8">
        <v>21</v>
      </c>
      <c r="C24" s="11"/>
      <c r="D24" s="3"/>
      <c r="E24" s="6"/>
      <c r="F24" s="7"/>
    </row>
    <row r="25" spans="1:9" x14ac:dyDescent="0.25">
      <c r="A25" s="3"/>
      <c r="B25" s="8">
        <v>22</v>
      </c>
      <c r="C25" s="11"/>
      <c r="D25" s="3"/>
      <c r="E25" s="6"/>
      <c r="F25" s="7"/>
    </row>
    <row r="26" spans="1:9" x14ac:dyDescent="0.25">
      <c r="A26" s="3"/>
      <c r="B26" s="8">
        <v>23</v>
      </c>
      <c r="C26" s="11"/>
      <c r="D26" s="3"/>
      <c r="E26" s="6"/>
      <c r="F26" s="7"/>
    </row>
    <row r="27" spans="1:9" x14ac:dyDescent="0.25">
      <c r="A27" s="3"/>
      <c r="B27" s="8">
        <v>24</v>
      </c>
      <c r="C27" s="12"/>
      <c r="D27" s="3"/>
      <c r="E27" s="6"/>
      <c r="F27" s="7"/>
    </row>
    <row r="28" spans="1:9" x14ac:dyDescent="0.25">
      <c r="A28" s="3"/>
      <c r="B28" s="3"/>
      <c r="C28" s="3"/>
      <c r="D28" s="3"/>
      <c r="E28" s="6"/>
      <c r="F28" s="7"/>
    </row>
    <row r="29" spans="1:9" x14ac:dyDescent="0.25">
      <c r="A29" s="3"/>
      <c r="B29" s="3" t="s">
        <v>6</v>
      </c>
      <c r="C29" s="7" t="e">
        <f>AVERAGE(C4:C27)</f>
        <v>#DIV/0!</v>
      </c>
      <c r="D29" s="3"/>
      <c r="E29" s="6"/>
      <c r="F29" s="7"/>
    </row>
    <row r="30" spans="1:9" x14ac:dyDescent="0.25">
      <c r="A30" s="3"/>
      <c r="B30" s="3"/>
      <c r="C30" s="3"/>
      <c r="D30" s="3"/>
      <c r="E30" s="6"/>
      <c r="F30" s="7"/>
    </row>
    <row r="31" spans="1:9" x14ac:dyDescent="0.25">
      <c r="A31" s="3"/>
      <c r="B31" s="3"/>
      <c r="C31" s="3"/>
      <c r="D31" s="3"/>
      <c r="E31" s="6"/>
      <c r="F31" s="7"/>
    </row>
    <row r="32" spans="1:9" x14ac:dyDescent="0.25">
      <c r="A32" s="3"/>
      <c r="B32" s="3"/>
      <c r="C32" s="3"/>
      <c r="D32" s="3"/>
      <c r="E32" s="6"/>
      <c r="F32" s="7"/>
    </row>
    <row r="33" spans="1:6" x14ac:dyDescent="0.25">
      <c r="A33" s="3"/>
      <c r="B33" s="3"/>
      <c r="C33" s="3"/>
      <c r="D33" s="3"/>
      <c r="E33" s="6"/>
      <c r="F33" s="7"/>
    </row>
    <row r="34" spans="1:6" x14ac:dyDescent="0.25">
      <c r="A34" s="3"/>
      <c r="B34" s="3"/>
      <c r="C34" s="3"/>
      <c r="D34" s="3"/>
      <c r="E34" s="6"/>
      <c r="F34" s="7"/>
    </row>
    <row r="35" spans="1:6" x14ac:dyDescent="0.25">
      <c r="A35" s="3"/>
      <c r="B35" s="3"/>
      <c r="C35" s="3"/>
      <c r="D35" s="3"/>
      <c r="E35" s="6"/>
      <c r="F35" s="7"/>
    </row>
    <row r="36" spans="1:6" x14ac:dyDescent="0.25">
      <c r="A36" s="3"/>
      <c r="B36" s="3"/>
      <c r="C36" s="3"/>
      <c r="D36" s="3"/>
      <c r="E36" s="6"/>
      <c r="F36" s="7"/>
    </row>
    <row r="37" spans="1:6" x14ac:dyDescent="0.25">
      <c r="A37" s="3"/>
      <c r="B37" s="3"/>
      <c r="C37" s="3"/>
      <c r="D37" s="3"/>
      <c r="E37" s="6"/>
      <c r="F37" s="7"/>
    </row>
    <row r="38" spans="1:6" x14ac:dyDescent="0.25">
      <c r="A38" s="3"/>
      <c r="B38" s="3"/>
      <c r="C38" s="3"/>
      <c r="D38" s="3"/>
      <c r="E38" s="6"/>
      <c r="F38" s="7"/>
    </row>
    <row r="39" spans="1:6" x14ac:dyDescent="0.25">
      <c r="A39" s="3"/>
      <c r="B39" s="3"/>
      <c r="C39" s="3"/>
      <c r="D39" s="3"/>
      <c r="E39" s="6"/>
      <c r="F39" s="7"/>
    </row>
    <row r="40" spans="1:6" x14ac:dyDescent="0.25">
      <c r="A40" s="3"/>
      <c r="B40" s="3"/>
      <c r="C40" s="3"/>
      <c r="D40" s="3"/>
      <c r="E40" s="6"/>
      <c r="F40" s="7"/>
    </row>
    <row r="41" spans="1:6" x14ac:dyDescent="0.25">
      <c r="A41" s="3"/>
      <c r="B41" s="3"/>
      <c r="C41" s="3"/>
      <c r="D41" s="3"/>
      <c r="E41" s="6"/>
      <c r="F41" s="7"/>
    </row>
    <row r="42" spans="1:6" x14ac:dyDescent="0.25">
      <c r="A42" s="3"/>
      <c r="B42" s="3"/>
      <c r="C42" s="3"/>
      <c r="D42" s="3"/>
      <c r="E42" s="6"/>
      <c r="F42" s="7"/>
    </row>
    <row r="43" spans="1:6" hidden="1" x14ac:dyDescent="0.25">
      <c r="A43" s="3"/>
      <c r="B43" s="3"/>
      <c r="C43" s="3"/>
      <c r="D43" s="3"/>
      <c r="E43" s="6"/>
      <c r="F43" s="7"/>
    </row>
    <row r="44" spans="1:6" hidden="1" x14ac:dyDescent="0.25">
      <c r="A44" s="3"/>
      <c r="B44" s="3"/>
      <c r="C44" s="3" t="s">
        <v>3</v>
      </c>
      <c r="D44" s="3"/>
      <c r="E44" s="6"/>
      <c r="F44" s="7"/>
    </row>
    <row r="45" spans="1:6" hidden="1" x14ac:dyDescent="0.25">
      <c r="A45" s="3"/>
      <c r="B45" s="3"/>
      <c r="C45" s="4" cm="1">
        <f t="array" ref="C45:D45">LINEST(E4:E15,F4:F15,1,0)</f>
        <v>0</v>
      </c>
      <c r="D45" s="4">
        <v>0</v>
      </c>
      <c r="E45" s="4"/>
      <c r="F45" s="3"/>
    </row>
    <row r="46" spans="1:6" hidden="1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4BED-173B-4CAB-A7DA-14E2574AA1DC}">
  <dimension ref="A1:AA71"/>
  <sheetViews>
    <sheetView zoomScaleNormal="100" workbookViewId="0">
      <selection activeCell="A2" sqref="A2"/>
    </sheetView>
  </sheetViews>
  <sheetFormatPr defaultColWidth="11.42578125" defaultRowHeight="15" x14ac:dyDescent="0.25"/>
  <cols>
    <col min="1" max="1" width="6.85546875" bestFit="1" customWidth="1"/>
    <col min="2" max="2" width="10" bestFit="1" customWidth="1"/>
    <col min="3" max="3" width="11.7109375" bestFit="1" customWidth="1"/>
    <col min="4" max="4" width="5.28515625" bestFit="1" customWidth="1"/>
    <col min="5" max="5" width="7.5703125" bestFit="1" customWidth="1"/>
    <col min="7" max="7" width="11.42578125" style="3"/>
    <col min="8" max="8" width="16.85546875" style="3" customWidth="1"/>
    <col min="9" max="9" width="22.42578125" style="3" bestFit="1" customWidth="1"/>
    <col min="10" max="16384" width="11.42578125" style="3"/>
  </cols>
  <sheetData>
    <row r="1" spans="1:27" customFormat="1" ht="18.75" x14ac:dyDescent="0.3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3"/>
      <c r="B2" s="3"/>
      <c r="C2" s="3"/>
      <c r="D2" s="3"/>
      <c r="E2" s="3"/>
      <c r="F2" s="3"/>
    </row>
    <row r="3" spans="1:27" x14ac:dyDescent="0.25">
      <c r="A3" s="2"/>
      <c r="B3" s="14" t="s">
        <v>5</v>
      </c>
      <c r="C3" s="14" t="s">
        <v>7</v>
      </c>
      <c r="D3" s="14"/>
      <c r="E3" s="14" t="s">
        <v>9</v>
      </c>
      <c r="F3" s="14" t="s">
        <v>8</v>
      </c>
      <c r="H3" s="5" t="s">
        <v>4</v>
      </c>
    </row>
    <row r="4" spans="1:27" x14ac:dyDescent="0.25">
      <c r="A4" s="3"/>
      <c r="B4" s="8">
        <v>1</v>
      </c>
      <c r="C4" s="10"/>
      <c r="D4" s="3"/>
      <c r="E4" s="8">
        <f>COUNTIF(C4:C28,"&gt;=0")</f>
        <v>0</v>
      </c>
      <c r="F4" s="13">
        <v>0</v>
      </c>
    </row>
    <row r="5" spans="1:27" x14ac:dyDescent="0.25">
      <c r="A5" s="3"/>
      <c r="B5" s="8">
        <v>2</v>
      </c>
      <c r="C5" s="11"/>
      <c r="D5" s="3"/>
      <c r="E5" s="8">
        <f>COUNTIF(C4:C28,"&gt;=0,5")</f>
        <v>0</v>
      </c>
      <c r="F5" s="13">
        <v>0.5</v>
      </c>
      <c r="I5" s="4"/>
    </row>
    <row r="6" spans="1:27" x14ac:dyDescent="0.25">
      <c r="A6" s="3"/>
      <c r="B6" s="8">
        <v>3</v>
      </c>
      <c r="C6" s="11"/>
      <c r="D6" s="3"/>
      <c r="E6" s="8">
        <f>COUNTIF(C4:C28,"&gt;=1,0")</f>
        <v>0</v>
      </c>
      <c r="F6" s="13">
        <v>1</v>
      </c>
      <c r="H6" s="3" t="s">
        <v>10</v>
      </c>
      <c r="I6" s="4">
        <v>0.5</v>
      </c>
    </row>
    <row r="7" spans="1:27" x14ac:dyDescent="0.25">
      <c r="A7" s="3"/>
      <c r="B7" s="8">
        <v>4</v>
      </c>
      <c r="C7" s="11"/>
      <c r="D7" s="3"/>
      <c r="E7" s="8">
        <f>COUNTIF(C4:C28,"&gt;=1,5")</f>
        <v>0</v>
      </c>
      <c r="F7" s="13">
        <v>1.5</v>
      </c>
      <c r="I7" s="4"/>
    </row>
    <row r="8" spans="1:27" x14ac:dyDescent="0.25">
      <c r="A8" s="3"/>
      <c r="B8" s="8">
        <v>5</v>
      </c>
      <c r="C8" s="11"/>
      <c r="D8" s="3"/>
      <c r="E8" s="8">
        <f>COUNTIF(C4:C28,"&gt;=2,0")</f>
        <v>0</v>
      </c>
      <c r="F8" s="13">
        <v>2</v>
      </c>
      <c r="H8" s="5" t="s">
        <v>11</v>
      </c>
      <c r="I8" s="4"/>
    </row>
    <row r="9" spans="1:27" x14ac:dyDescent="0.25">
      <c r="A9" s="3"/>
      <c r="B9" s="8">
        <v>6</v>
      </c>
      <c r="C9" s="11"/>
      <c r="D9" s="3"/>
      <c r="E9" s="8">
        <f>COUNTIF(C4:C28,"&gt;=2,5")</f>
        <v>0</v>
      </c>
      <c r="F9" s="13">
        <v>2.5</v>
      </c>
      <c r="H9" s="3" t="s">
        <v>0</v>
      </c>
      <c r="I9" s="4">
        <f>D45</f>
        <v>0</v>
      </c>
    </row>
    <row r="10" spans="1:27" x14ac:dyDescent="0.25">
      <c r="A10" s="3"/>
      <c r="B10" s="8">
        <v>7</v>
      </c>
      <c r="C10" s="11"/>
      <c r="D10" s="3"/>
      <c r="E10" s="8">
        <f>COUNTIF(C4:C28,"&gt;=3,0")</f>
        <v>0</v>
      </c>
      <c r="F10" s="13">
        <v>3</v>
      </c>
      <c r="H10" s="3" t="s">
        <v>1</v>
      </c>
      <c r="I10" s="4">
        <f>C45</f>
        <v>0</v>
      </c>
    </row>
    <row r="11" spans="1:27" x14ac:dyDescent="0.25">
      <c r="A11" s="3"/>
      <c r="B11" s="8">
        <v>8</v>
      </c>
      <c r="C11" s="11"/>
      <c r="D11" s="3"/>
      <c r="E11" s="8">
        <f>COUNTIF(C4:C28,"&gt;=3,5")</f>
        <v>0</v>
      </c>
      <c r="F11" s="13">
        <v>3.5</v>
      </c>
      <c r="I11" s="4"/>
    </row>
    <row r="12" spans="1:27" x14ac:dyDescent="0.25">
      <c r="A12" s="3"/>
      <c r="B12" s="8">
        <v>9</v>
      </c>
      <c r="C12" s="11"/>
      <c r="D12" s="3"/>
      <c r="E12" s="8">
        <f>COUNTIF(C4:C28,"&gt;=4,0")</f>
        <v>0</v>
      </c>
      <c r="F12" s="13">
        <v>4</v>
      </c>
      <c r="I12" s="4"/>
    </row>
    <row r="13" spans="1:27" x14ac:dyDescent="0.25">
      <c r="A13" s="3"/>
      <c r="B13" s="8">
        <v>10</v>
      </c>
      <c r="C13" s="11"/>
      <c r="D13" s="3"/>
      <c r="E13" s="8">
        <f>COUNTIF(C4:C28,"&gt;=4,5")</f>
        <v>0</v>
      </c>
      <c r="F13" s="13">
        <v>4.5</v>
      </c>
      <c r="I13" s="4"/>
    </row>
    <row r="14" spans="1:27" x14ac:dyDescent="0.25">
      <c r="A14" s="3"/>
      <c r="B14" s="8">
        <v>11</v>
      </c>
      <c r="C14" s="11"/>
      <c r="D14" s="3"/>
      <c r="E14" s="8">
        <f>COUNTIF(C4:C28,"&gt;=5,0")</f>
        <v>0</v>
      </c>
      <c r="F14" s="13">
        <v>5</v>
      </c>
      <c r="H14" s="3" t="s">
        <v>2</v>
      </c>
      <c r="I14" s="4" t="e">
        <f>0.5*((I9/-I10)+I6)</f>
        <v>#DIV/0!</v>
      </c>
    </row>
    <row r="15" spans="1:27" x14ac:dyDescent="0.25">
      <c r="A15" s="3"/>
      <c r="B15" s="8">
        <v>12</v>
      </c>
      <c r="C15" s="11"/>
      <c r="D15" s="3"/>
      <c r="E15" s="8">
        <f>COUNTIF(C4:C28,"&gt;=5,5")</f>
        <v>0</v>
      </c>
      <c r="F15" s="13">
        <v>5.5</v>
      </c>
      <c r="I15" s="4"/>
    </row>
    <row r="16" spans="1:27" x14ac:dyDescent="0.25">
      <c r="A16" s="3"/>
      <c r="B16" s="8">
        <v>13</v>
      </c>
      <c r="C16" s="11"/>
      <c r="D16" s="3"/>
      <c r="E16" s="6"/>
      <c r="F16" s="7"/>
      <c r="I16" s="4"/>
    </row>
    <row r="17" spans="1:9" x14ac:dyDescent="0.25">
      <c r="A17" s="3"/>
      <c r="B17" s="8">
        <v>14</v>
      </c>
      <c r="C17" s="11"/>
      <c r="D17" s="3"/>
      <c r="E17" s="6"/>
      <c r="F17" s="7"/>
      <c r="I17" s="4"/>
    </row>
    <row r="18" spans="1:9" x14ac:dyDescent="0.25">
      <c r="A18" s="3"/>
      <c r="B18" s="8">
        <v>15</v>
      </c>
      <c r="C18" s="11"/>
      <c r="D18" s="3"/>
      <c r="E18" s="6"/>
      <c r="F18" s="7"/>
    </row>
    <row r="19" spans="1:9" x14ac:dyDescent="0.25">
      <c r="A19" s="3"/>
      <c r="B19" s="8">
        <v>16</v>
      </c>
      <c r="C19" s="11"/>
      <c r="D19" s="3"/>
      <c r="E19" s="6"/>
      <c r="F19" s="7"/>
      <c r="I19" s="4"/>
    </row>
    <row r="20" spans="1:9" x14ac:dyDescent="0.25">
      <c r="A20" s="3"/>
      <c r="B20" s="8">
        <v>17</v>
      </c>
      <c r="C20" s="11"/>
      <c r="D20" s="3"/>
      <c r="E20" s="6"/>
      <c r="F20" s="7"/>
    </row>
    <row r="21" spans="1:9" x14ac:dyDescent="0.25">
      <c r="A21" s="3"/>
      <c r="B21" s="8">
        <v>18</v>
      </c>
      <c r="C21" s="11"/>
      <c r="D21" s="3"/>
      <c r="E21" s="6"/>
      <c r="F21" s="7"/>
    </row>
    <row r="22" spans="1:9" x14ac:dyDescent="0.25">
      <c r="A22" s="3"/>
      <c r="B22" s="8">
        <v>19</v>
      </c>
      <c r="C22" s="11"/>
      <c r="D22" s="3"/>
      <c r="E22" s="6"/>
      <c r="F22" s="7"/>
    </row>
    <row r="23" spans="1:9" x14ac:dyDescent="0.25">
      <c r="A23" s="3"/>
      <c r="B23" s="8">
        <v>20</v>
      </c>
      <c r="C23" s="11"/>
      <c r="D23" s="3"/>
      <c r="E23" s="6"/>
      <c r="F23" s="7"/>
    </row>
    <row r="24" spans="1:9" x14ac:dyDescent="0.25">
      <c r="A24" s="3"/>
      <c r="B24" s="8">
        <v>21</v>
      </c>
      <c r="C24" s="11"/>
      <c r="D24" s="3"/>
      <c r="E24" s="6"/>
      <c r="F24" s="7"/>
    </row>
    <row r="25" spans="1:9" x14ac:dyDescent="0.25">
      <c r="A25" s="3"/>
      <c r="B25" s="8">
        <v>22</v>
      </c>
      <c r="C25" s="11"/>
      <c r="D25" s="3"/>
      <c r="E25" s="6"/>
      <c r="F25" s="7"/>
    </row>
    <row r="26" spans="1:9" x14ac:dyDescent="0.25">
      <c r="A26" s="3"/>
      <c r="B26" s="8">
        <v>23</v>
      </c>
      <c r="C26" s="11"/>
      <c r="D26" s="3"/>
      <c r="E26" s="6"/>
      <c r="F26" s="7"/>
    </row>
    <row r="27" spans="1:9" x14ac:dyDescent="0.25">
      <c r="A27" s="3"/>
      <c r="B27" s="8">
        <v>24</v>
      </c>
      <c r="C27" s="12"/>
      <c r="D27" s="3"/>
      <c r="E27" s="6"/>
      <c r="F27" s="7"/>
    </row>
    <row r="28" spans="1:9" x14ac:dyDescent="0.25">
      <c r="A28" s="3"/>
      <c r="B28" s="3"/>
      <c r="C28" s="3"/>
      <c r="D28" s="3"/>
      <c r="E28" s="6"/>
      <c r="F28" s="7"/>
    </row>
    <row r="29" spans="1:9" x14ac:dyDescent="0.25">
      <c r="A29" s="3"/>
      <c r="B29" s="3" t="s">
        <v>6</v>
      </c>
      <c r="C29" s="7" t="e">
        <f>AVERAGE(C4:C27)</f>
        <v>#DIV/0!</v>
      </c>
      <c r="D29" s="3"/>
      <c r="E29" s="6"/>
      <c r="F29" s="7"/>
    </row>
    <row r="30" spans="1:9" x14ac:dyDescent="0.25">
      <c r="A30" s="3"/>
      <c r="B30" s="3"/>
      <c r="C30" s="3"/>
      <c r="D30" s="3"/>
      <c r="E30" s="6"/>
      <c r="F30" s="7"/>
    </row>
    <row r="31" spans="1:9" x14ac:dyDescent="0.25">
      <c r="A31" s="3"/>
      <c r="B31" s="3"/>
      <c r="C31" s="3"/>
      <c r="D31" s="3"/>
      <c r="E31" s="6"/>
      <c r="F31" s="7"/>
    </row>
    <row r="32" spans="1:9" x14ac:dyDescent="0.25">
      <c r="A32" s="3"/>
      <c r="B32" s="3"/>
      <c r="C32" s="3"/>
      <c r="D32" s="3"/>
      <c r="E32" s="6"/>
      <c r="F32" s="7"/>
    </row>
    <row r="33" spans="1:6" x14ac:dyDescent="0.25">
      <c r="A33" s="3"/>
      <c r="B33" s="3"/>
      <c r="C33" s="3"/>
      <c r="D33" s="3"/>
      <c r="E33" s="6"/>
      <c r="F33" s="7"/>
    </row>
    <row r="34" spans="1:6" x14ac:dyDescent="0.25">
      <c r="A34" s="3"/>
      <c r="B34" s="3"/>
      <c r="C34" s="3"/>
      <c r="D34" s="3"/>
      <c r="E34" s="6"/>
      <c r="F34" s="7"/>
    </row>
    <row r="35" spans="1:6" x14ac:dyDescent="0.25">
      <c r="A35" s="3"/>
      <c r="B35" s="3"/>
      <c r="C35" s="3"/>
      <c r="D35" s="3"/>
      <c r="E35" s="6"/>
      <c r="F35" s="7"/>
    </row>
    <row r="36" spans="1:6" x14ac:dyDescent="0.25">
      <c r="A36" s="3"/>
      <c r="B36" s="3"/>
      <c r="C36" s="3"/>
      <c r="D36" s="3"/>
      <c r="E36" s="6"/>
      <c r="F36" s="7"/>
    </row>
    <row r="37" spans="1:6" x14ac:dyDescent="0.25">
      <c r="A37" s="3"/>
      <c r="B37" s="3"/>
      <c r="C37" s="3"/>
      <c r="D37" s="3"/>
      <c r="E37" s="6"/>
      <c r="F37" s="7"/>
    </row>
    <row r="38" spans="1:6" x14ac:dyDescent="0.25">
      <c r="A38" s="3"/>
      <c r="B38" s="3"/>
      <c r="C38" s="3"/>
      <c r="D38" s="3"/>
      <c r="E38" s="6"/>
      <c r="F38" s="7"/>
    </row>
    <row r="39" spans="1:6" x14ac:dyDescent="0.25">
      <c r="A39" s="3"/>
      <c r="B39" s="3"/>
      <c r="C39" s="3"/>
      <c r="D39" s="3"/>
      <c r="E39" s="6"/>
      <c r="F39" s="7"/>
    </row>
    <row r="40" spans="1:6" x14ac:dyDescent="0.25">
      <c r="A40" s="3"/>
      <c r="B40" s="3"/>
      <c r="C40" s="3"/>
      <c r="D40" s="3"/>
      <c r="E40" s="6"/>
      <c r="F40" s="7"/>
    </row>
    <row r="41" spans="1:6" x14ac:dyDescent="0.25">
      <c r="A41" s="3"/>
      <c r="B41" s="3"/>
      <c r="C41" s="3"/>
      <c r="D41" s="3"/>
      <c r="E41" s="6"/>
      <c r="F41" s="7"/>
    </row>
    <row r="42" spans="1:6" x14ac:dyDescent="0.25">
      <c r="A42" s="3"/>
      <c r="B42" s="3"/>
      <c r="C42" s="3"/>
      <c r="D42" s="3"/>
      <c r="E42" s="6"/>
      <c r="F42" s="7"/>
    </row>
    <row r="43" spans="1:6" hidden="1" x14ac:dyDescent="0.25">
      <c r="A43" s="3"/>
      <c r="B43" s="3"/>
      <c r="C43" s="3"/>
      <c r="D43" s="3"/>
      <c r="E43" s="6"/>
      <c r="F43" s="7"/>
    </row>
    <row r="44" spans="1:6" hidden="1" x14ac:dyDescent="0.25">
      <c r="A44" s="3"/>
      <c r="B44" s="3"/>
      <c r="C44" s="3" t="s">
        <v>3</v>
      </c>
      <c r="D44" s="3"/>
      <c r="E44" s="6"/>
      <c r="F44" s="7"/>
    </row>
    <row r="45" spans="1:6" hidden="1" x14ac:dyDescent="0.25">
      <c r="A45" s="3"/>
      <c r="B45" s="3"/>
      <c r="C45" s="4" cm="1">
        <f t="array" ref="C45:D45">LINEST(E4:E15,F4:F15,1,0)</f>
        <v>0</v>
      </c>
      <c r="D45" s="4">
        <v>0</v>
      </c>
      <c r="E45" s="4"/>
      <c r="F45" s="3"/>
    </row>
    <row r="46" spans="1:6" hidden="1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</vt:lpstr>
      <vt:lpstr>real</vt:lpstr>
      <vt:lpstr>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Sebastian Oetzel</dc:creator>
  <cp:lastModifiedBy>Sebastian Oetzel</cp:lastModifiedBy>
  <dcterms:created xsi:type="dcterms:W3CDTF">2018-08-29T12:34:39Z</dcterms:created>
  <dcterms:modified xsi:type="dcterms:W3CDTF">2026-08-10T10:37:32Z</dcterms:modified>
</cp:coreProperties>
</file>